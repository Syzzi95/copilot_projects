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said-aga_shah-aga_accenture_com/Documents/Desktop/Improve productivity with co-pilot/Deliverables/Deliverable_Task 3/"/>
    </mc:Choice>
  </mc:AlternateContent>
  <xr:revisionPtr revIDLastSave="0" documentId="8_{0C9B19D5-3A4F-4834-BB3B-059F5E7C7C57}" xr6:coauthVersionLast="47" xr6:coauthVersionMax="47" xr10:uidLastSave="{00000000-0000-0000-0000-000000000000}"/>
  <bookViews>
    <workbookView xWindow="-98" yWindow="-98" windowWidth="28996" windowHeight="15675" tabRatio="839" activeTab="1" xr2:uid="{00000000-000D-0000-FFFF-FFFF00000000}"/>
  </bookViews>
  <sheets>
    <sheet name="Cover" sheetId="10" r:id="rId1"/>
    <sheet name="Supply Chain Summary" sheetId="11" r:id="rId2"/>
    <sheet name="Dataset" sheetId="1" r:id="rId3"/>
    <sheet name="Analysi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1" l="1"/>
  <c r="G29" i="11"/>
  <c r="G28" i="11"/>
  <c r="G27" i="11"/>
  <c r="G26" i="11"/>
  <c r="F29" i="11"/>
  <c r="F28" i="11"/>
  <c r="F27" i="11"/>
  <c r="F26" i="11"/>
  <c r="E29" i="11"/>
  <c r="E28" i="11"/>
  <c r="E27" i="11"/>
  <c r="E26" i="11"/>
  <c r="D29" i="11"/>
  <c r="D28" i="11"/>
  <c r="D27" i="11"/>
  <c r="D26" i="11"/>
  <c r="C29" i="11"/>
  <c r="C28" i="11"/>
  <c r="C27" i="11"/>
  <c r="C26" i="11"/>
  <c r="B29" i="11"/>
  <c r="B28" i="11"/>
  <c r="B27" i="11"/>
  <c r="B26" i="11"/>
  <c r="G25" i="11"/>
  <c r="F25" i="11"/>
  <c r="E25" i="11"/>
  <c r="D25" i="11"/>
  <c r="C25" i="11"/>
  <c r="B25" i="11"/>
  <c r="D20" i="11"/>
  <c r="D19" i="11"/>
  <c r="D18" i="11"/>
  <c r="C20" i="11"/>
  <c r="C19" i="11"/>
  <c r="C18" i="11"/>
  <c r="B20" i="11"/>
  <c r="B19" i="11"/>
  <c r="B18" i="11"/>
  <c r="C13" i="11"/>
  <c r="C12" i="11"/>
  <c r="C11" i="11"/>
  <c r="B13" i="11"/>
  <c r="B12" i="11"/>
  <c r="B11" i="11"/>
</calcChain>
</file>

<file path=xl/sharedStrings.xml><?xml version="1.0" encoding="utf-8"?>
<sst xmlns="http://schemas.openxmlformats.org/spreadsheetml/2006/main" count="345" uniqueCount="172">
  <si>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</si>
  <si>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</si>
  <si>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</si>
  <si>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</si>
  <si>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</si>
  <si>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</si>
  <si>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</si>
  <si>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</si>
  <si>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</si>
  <si>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</si>
  <si>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</si>
  <si>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</si>
  <si>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</si>
  <si>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</si>
  <si>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</si>
  <si>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</si>
  <si>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</si>
  <si>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</si>
  <si>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</si>
  <si>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</si>
  <si>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</si>
  <si>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</si>
  <si>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</si>
  <si>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</si>
  <si>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</si>
  <si>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</si>
  <si>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</si>
  <si>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</si>
  <si>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</si>
  <si>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</si>
  <si>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</si>
  <si>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</si>
  <si>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</si>
  <si>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</si>
  <si>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</si>
  <si>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</si>
  <si>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</si>
  <si>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</si>
  <si>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</si>
  <si>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</si>
  <si>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</si>
  <si>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</si>
  <si>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</si>
  <si>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</si>
  <si>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</si>
  <si>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</si>
  <si>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</si>
  <si>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</si>
  <si>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</si>
  <si>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</si>
  <si>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</si>
  <si>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</si>
  <si>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</si>
  <si>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</si>
  <si>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</si>
  <si>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</si>
  <si>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</si>
  <si>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</si>
  <si>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</si>
  <si>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</si>
  <si>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</si>
  <si>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</si>
  <si>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</si>
  <si>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</si>
  <si>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</si>
  <si>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</si>
  <si>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</si>
  <si>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</si>
  <si>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</si>
  <si>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</si>
  <si>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</si>
  <si>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</si>
  <si>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</si>
  <si>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</si>
  <si>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</si>
  <si>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</si>
  <si>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</si>
  <si>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</si>
  <si>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</si>
  <si>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</si>
  <si>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</si>
  <si>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</si>
  <si>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</si>
  <si>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</si>
  <si>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</si>
  <si>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</si>
  <si>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</si>
  <si>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</si>
  <si>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</si>
  <si>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</si>
  <si>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</si>
  <si>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</si>
  <si>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</si>
  <si>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</si>
  <si>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</si>
  <si>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</si>
  <si>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</si>
  <si>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</si>
  <si>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</si>
  <si>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</si>
  <si>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</si>
  <si>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</si>
  <si>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</si>
  <si>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</si>
  <si>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</si>
  <si>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</si>
  <si>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</si>
  <si>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</si>
  <si>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</si>
  <si>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</si>
  <si>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</si>
  <si>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</si>
  <si>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</si>
  <si>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</si>
  <si>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</si>
  <si>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</si>
  <si>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</si>
  <si>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</si>
  <si>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</si>
  <si>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</si>
  <si>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</si>
  <si>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</si>
  <si>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</si>
  <si>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</si>
  <si>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</si>
  <si>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</si>
  <si>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 xml:space="preserve">Supply Chain Receipt Date </t>
  </si>
  <si>
    <t>Delivery Timeline</t>
  </si>
  <si>
    <t>Issue Summary</t>
  </si>
  <si>
    <t>Supplier Analysis</t>
  </si>
  <si>
    <t>Risk Factors</t>
  </si>
  <si>
    <t>Component Specific Changes</t>
  </si>
  <si>
    <t>10 days</t>
  </si>
  <si>
    <t>13 days</t>
  </si>
  <si>
    <t>8 days</t>
  </si>
  <si>
    <t>The component has a confirmed delay, with receipt scheduled close to critical production deadlines. EcoSupply’s reliability and defect rates warrant further review, given the FDA’s emphasis on consistent supply for regulated products.</t>
  </si>
  <si>
    <t>PrimeLogistics has experienced lead time variances that pose additional risks for this component. A 13-day timeline exceeds typical thresholds and may necessitate expedited shipping, potentially increasing costs and reducing margin.</t>
  </si>
  <si>
    <t>Delays from NextGen Pharma highlight systemic challenges, including forecasting inaccuracies and inventory mismanagement. These issues could disrupt production and hinder compliance with FDA regulations.</t>
  </si>
  <si>
    <t>EcoSupply’s delivery metrics reveal recurring delays for critical components. Supply chain receipt tracking shows an increasing trend of shipment delays over the past quarter.</t>
  </si>
  <si>
    <t>Medium risk with limited contingency plans. High reliance on EcoSupply’s consistency amplifies vulnerability.</t>
  </si>
  <si>
    <t>PrimeLogistics’ lead time variance (up to 3 days) indicates weak demand forecasting.</t>
  </si>
  <si>
    <t>Medium risk with significant variability in supplier performance.</t>
  </si>
  <si>
    <t>NextGen Pharma faces challenges in aligning production schedules with customer demands.</t>
  </si>
  <si>
    <t>Medium risk with potential defects, highlighting a need for improved supplier communication.</t>
  </si>
  <si>
    <t>Negotiate expedited shipping terms with EcoSupply. 
Increase inventory buffer to mitigate future delays.</t>
  </si>
  <si>
    <t>Collaborate with PrimeLogistics on demand planning. 
Adjust order cycles to account for lead time variances.</t>
  </si>
  <si>
    <t>Engage NextGen Pharma to improve forecasting accuracy. 
Implement dynamic inventory replenishment models.</t>
  </si>
  <si>
    <t>Supply Chain Performance Workbook</t>
  </si>
  <si>
    <t>Navigation and scope for the 50-record component and supplier review</t>
  </si>
  <si>
    <t>WORKSHEET</t>
  </si>
  <si>
    <t>PURPOSE</t>
  </si>
  <si>
    <t>Supply Chain Summary</t>
  </si>
  <si>
    <t>Decision-ready risk, delayed-component, and supplier performance metrics.</t>
  </si>
  <si>
    <t>Dataset</t>
  </si>
  <si>
    <t>Source table containing all 50 component-supplier records and 20 fields.</t>
  </si>
  <si>
    <t>Analysis</t>
  </si>
  <si>
    <t>Existing narrative review of selected delayed components and mitigation actions.</t>
  </si>
  <si>
    <t>Supply Chain Performance Analysis</t>
  </si>
  <si>
    <t>Complete review of Dataset records: delivery risk, delayed components, and supplier performance</t>
  </si>
  <si>
    <t>DELIVERY TIMELINE BY RISK LEVEL</t>
  </si>
  <si>
    <t>Avg Delivery Timeline (Days)</t>
  </si>
  <si>
    <t>Records</t>
  </si>
  <si>
    <t>DELAYED COMPONENT ON-TIME PERFORMANCE</t>
  </si>
  <si>
    <t>Avg On-Time Rate</t>
  </si>
  <si>
    <t>Minimum On-Time Rate</t>
  </si>
  <si>
    <t>SUPPLIER PERFORMANCE BREAKDOWN</t>
  </si>
  <si>
    <t>Avg Reliability</t>
  </si>
  <si>
    <t>Avg Defect Rate</t>
  </si>
  <si>
    <t>Avg Delivery Timeline</t>
  </si>
  <si>
    <t>High-Risk Share</t>
  </si>
  <si>
    <t>Coverage Total</t>
  </si>
  <si>
    <t>Story in brief: Medium-risk records have the longest average delivery timeline at 15.1 days. Among the delayed components, COAT890 has the lowest observed on-time rate at 81.0%. EcoSupply has the lowest supplier-level average on-time rate at 87.9%, while RawMatPlus has the largest high-risk share at 30.8%.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</si>
</sst>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"/>
    <numFmt numFmtId="166" formatCode="0.0&quot;%&quot;"/>
    <numFmt numFmtId="167" formatCode="0.00&quot;%&quot;"/>
    <numFmt numFmtId="168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B6573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8D1DC"/>
      </bottom>
      <diagonal/>
    </border>
    <border>
      <left/>
      <right/>
      <top/>
      <bottom style="thin">
        <color rgb="FFD5DCE5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4" fillId="2" borderId="0" xfId="0" applyFont="1" applyFill="1"/>
    <xf numFmtId="0" fontId="5" fillId="0" borderId="0" xfId="0" applyFont="1"/>
    <xf numFmtId="0" fontId="3" fillId="3" borderId="0" xfId="0" applyFont="1" applyFill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7" fillId="4" borderId="0" xfId="0" applyFont="1" applyFill="1" applyAlignment="1">
      <alignment vertical="center" wrapText="1"/>
    </xf>
    <xf numFmtId="0" fontId="8" fillId="3" borderId="0" xfId="0" applyFont="1" applyFill="1"/>
    <xf numFmtId="0" fontId="9" fillId="5" borderId="0" xfId="0" applyFont="1" applyFill="1" applyAlignment="1">
      <alignment horizontal="center" wrapText="1"/>
    </xf>
    <xf numFmtId="165" fontId="7" fillId="0" borderId="0" xfId="0" applyNumberFormat="1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5" fontId="7" fillId="4" borderId="0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65" fontId="7" fillId="0" borderId="3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0" fontId="8" fillId="3" borderId="0" xfId="0" applyFont="1" applyFill="1" applyAlignment="1">
      <alignment horizontal="right"/>
    </xf>
    <xf numFmtId="0" fontId="9" fillId="5" borderId="0" xfId="0" applyFont="1" applyFill="1" applyAlignment="1">
      <alignment horizontal="right" wrapText="1"/>
    </xf>
    <xf numFmtId="166" fontId="7" fillId="0" borderId="0" xfId="0" applyNumberFormat="1" applyFont="1" applyBorder="1" applyAlignment="1">
      <alignment horizontal="right"/>
    </xf>
    <xf numFmtId="166" fontId="7" fillId="4" borderId="0" xfId="0" applyNumberFormat="1" applyFont="1" applyFill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right"/>
    </xf>
    <xf numFmtId="167" fontId="7" fillId="4" borderId="0" xfId="0" applyNumberFormat="1" applyFont="1" applyFill="1" applyBorder="1" applyAlignment="1">
      <alignment horizontal="right"/>
    </xf>
    <xf numFmtId="168" fontId="7" fillId="4" borderId="0" xfId="0" applyNumberFormat="1" applyFont="1" applyFill="1" applyBorder="1" applyAlignment="1">
      <alignment horizontal="right"/>
    </xf>
    <xf numFmtId="0" fontId="9" fillId="6" borderId="3" xfId="0" applyFont="1" applyFill="1" applyBorder="1" applyAlignment="1">
      <alignment horizontal="right"/>
    </xf>
    <xf numFmtId="3" fontId="9" fillId="6" borderId="3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left"/>
    </xf>
    <xf numFmtId="0" fontId="9" fillId="5" borderId="0" xfId="0" applyFont="1" applyFill="1" applyAlignment="1">
      <alignment horizontal="left" wrapText="1"/>
    </xf>
    <xf numFmtId="0" fontId="9" fillId="6" borderId="3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61D4-7107-453B-934A-50327E6681AC}">
  <dimension ref="A1:H8"/>
  <sheetViews>
    <sheetView showGridLines="0" workbookViewId="0">
      <selection sqref="A1:H1"/>
    </sheetView>
  </sheetViews>
  <sheetFormatPr defaultRowHeight="14.25" x14ac:dyDescent="0.45"/>
  <cols>
    <col min="1" max="1" width="35.53125" customWidth="1"/>
    <col min="2" max="2" width="62.19921875" customWidth="1"/>
    <col min="3" max="8" width="6.3984375" customWidth="1"/>
  </cols>
  <sheetData>
    <row r="1" spans="1:8" ht="25.5" x14ac:dyDescent="0.75">
      <c r="A1" s="6" t="s">
        <v>147</v>
      </c>
      <c r="B1" s="6"/>
      <c r="C1" s="6"/>
      <c r="D1" s="6"/>
      <c r="E1" s="6"/>
      <c r="F1" s="6"/>
      <c r="G1" s="6"/>
      <c r="H1" s="6"/>
    </row>
    <row r="2" spans="1:8" x14ac:dyDescent="0.45">
      <c r="A2" s="7" t="s">
        <v>148</v>
      </c>
      <c r="B2" s="7"/>
      <c r="C2" s="7"/>
      <c r="D2" s="7"/>
      <c r="E2" s="7"/>
      <c r="F2" s="7"/>
      <c r="G2" s="7"/>
      <c r="H2" s="7"/>
    </row>
    <row r="5" spans="1:8" x14ac:dyDescent="0.45">
      <c r="A5" s="8" t="s">
        <v>149</v>
      </c>
      <c r="B5" s="8" t="s">
        <v>150</v>
      </c>
    </row>
    <row r="6" spans="1:8" x14ac:dyDescent="0.45">
      <c r="A6" s="9" t="s">
        <v>151</v>
      </c>
      <c r="B6" s="10" t="s">
        <v>152</v>
      </c>
    </row>
    <row r="7" spans="1:8" x14ac:dyDescent="0.45">
      <c r="A7" s="9" t="s">
        <v>153</v>
      </c>
      <c r="B7" s="10" t="s">
        <v>154</v>
      </c>
    </row>
    <row r="8" spans="1:8" ht="28.5" x14ac:dyDescent="0.45">
      <c r="A8" s="11" t="s">
        <v>155</v>
      </c>
      <c r="B8" s="12" t="s">
        <v>156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8C14-F438-4ECB-9BFF-9647E04D489C}">
  <dimension ref="A1:G30"/>
  <sheetViews>
    <sheetView showGridLines="0" tabSelected="1" workbookViewId="0">
      <selection sqref="A1:G1"/>
    </sheetView>
  </sheetViews>
  <sheetFormatPr defaultRowHeight="14.25" x14ac:dyDescent="0.45"/>
  <cols>
    <col min="1" max="2" width="23.1328125" customWidth="1"/>
    <col min="3" max="3" width="21.33203125" customWidth="1"/>
    <col min="4" max="4" width="23.1328125" customWidth="1"/>
    <col min="5" max="5" width="21.33203125" customWidth="1"/>
    <col min="6" max="6" width="14.19921875" customWidth="1"/>
    <col min="7" max="7" width="18.6640625" customWidth="1"/>
  </cols>
  <sheetData>
    <row r="1" spans="1:7" ht="25.5" x14ac:dyDescent="0.75">
      <c r="A1" s="6" t="s">
        <v>157</v>
      </c>
      <c r="B1" s="6"/>
      <c r="C1" s="6"/>
      <c r="D1" s="6"/>
      <c r="E1" s="6"/>
      <c r="F1" s="6"/>
      <c r="G1" s="6"/>
    </row>
    <row r="2" spans="1:7" x14ac:dyDescent="0.45">
      <c r="A2" s="7" t="s">
        <v>158</v>
      </c>
      <c r="B2" s="7"/>
      <c r="C2" s="7"/>
      <c r="D2" s="7"/>
      <c r="E2" s="7"/>
      <c r="F2" s="7"/>
      <c r="G2" s="7"/>
    </row>
    <row r="4" spans="1:7" ht="30" customHeight="1" x14ac:dyDescent="0.45">
      <c r="A4" s="13" t="s">
        <v>171</v>
      </c>
      <c r="B4" s="13"/>
      <c r="C4" s="13"/>
      <c r="D4" s="13"/>
      <c r="E4" s="13"/>
      <c r="F4" s="13"/>
      <c r="G4" s="13"/>
    </row>
    <row r="5" spans="1:7" ht="30" customHeight="1" x14ac:dyDescent="0.45">
      <c r="A5" s="13"/>
      <c r="B5" s="13"/>
      <c r="C5" s="13"/>
      <c r="D5" s="13"/>
      <c r="E5" s="13"/>
      <c r="F5" s="13"/>
      <c r="G5" s="13"/>
    </row>
    <row r="6" spans="1:7" ht="30" customHeight="1" x14ac:dyDescent="0.45">
      <c r="A6" s="13"/>
      <c r="B6" s="13"/>
      <c r="C6" s="13"/>
      <c r="D6" s="13"/>
      <c r="E6" s="13"/>
      <c r="F6" s="13"/>
      <c r="G6" s="13"/>
    </row>
    <row r="9" spans="1:7" ht="15.75" x14ac:dyDescent="0.5">
      <c r="A9" s="14" t="s">
        <v>159</v>
      </c>
      <c r="B9" s="14"/>
      <c r="C9" s="14"/>
      <c r="D9" s="14"/>
      <c r="E9" s="14"/>
      <c r="F9" s="14"/>
      <c r="G9" s="14"/>
    </row>
    <row r="10" spans="1:7" x14ac:dyDescent="0.45">
      <c r="A10" s="15" t="s">
        <v>4</v>
      </c>
      <c r="B10" s="15" t="s">
        <v>160</v>
      </c>
      <c r="C10" s="15" t="s">
        <v>161</v>
      </c>
    </row>
    <row r="11" spans="1:7" x14ac:dyDescent="0.45">
      <c r="A11" s="34" t="s">
        <v>69</v>
      </c>
      <c r="B11" s="16">
        <f>AVERAGEIF(Dataset!$E$2:$E$51,A11,Dataset!$C$2:$C$51)</f>
        <v>11.25</v>
      </c>
      <c r="C11" s="17">
        <f>COUNTIF(Dataset!$E$2:$E$51,A11)</f>
        <v>12</v>
      </c>
      <c r="D11" s="18"/>
      <c r="E11" s="18"/>
      <c r="F11" s="18"/>
      <c r="G11" s="18"/>
    </row>
    <row r="12" spans="1:7" x14ac:dyDescent="0.45">
      <c r="A12" s="35" t="s">
        <v>67</v>
      </c>
      <c r="B12" s="19">
        <f>AVERAGEIF(Dataset!$E$2:$E$51,A12,Dataset!$C$2:$C$51)</f>
        <v>12.857142857142858</v>
      </c>
      <c r="C12" s="20">
        <f>COUNTIF(Dataset!$E$2:$E$51,A12)</f>
        <v>14</v>
      </c>
      <c r="D12" s="18"/>
      <c r="E12" s="18"/>
      <c r="F12" s="18"/>
      <c r="G12" s="18"/>
    </row>
    <row r="13" spans="1:7" x14ac:dyDescent="0.45">
      <c r="A13" s="36" t="s">
        <v>68</v>
      </c>
      <c r="B13" s="21">
        <f>AVERAGEIF(Dataset!$E$2:$E$51,A13,Dataset!$C$2:$C$51)</f>
        <v>15.125</v>
      </c>
      <c r="C13" s="22">
        <f>COUNTIF(Dataset!$E$2:$E$51,A13)</f>
        <v>24</v>
      </c>
      <c r="D13" s="18"/>
      <c r="E13" s="18"/>
      <c r="F13" s="18"/>
      <c r="G13" s="18"/>
    </row>
    <row r="14" spans="1:7" x14ac:dyDescent="0.45">
      <c r="A14" s="37"/>
      <c r="B14" s="18"/>
      <c r="C14" s="18"/>
      <c r="D14" s="18"/>
      <c r="E14" s="18"/>
      <c r="F14" s="18"/>
      <c r="G14" s="18"/>
    </row>
    <row r="15" spans="1:7" x14ac:dyDescent="0.45">
      <c r="A15" s="37"/>
      <c r="B15" s="18"/>
      <c r="C15" s="18"/>
      <c r="D15" s="18"/>
      <c r="E15" s="18"/>
      <c r="F15" s="18"/>
      <c r="G15" s="18"/>
    </row>
    <row r="16" spans="1:7" ht="15.75" x14ac:dyDescent="0.5">
      <c r="A16" s="38" t="s">
        <v>162</v>
      </c>
      <c r="B16" s="23"/>
      <c r="C16" s="23"/>
      <c r="D16" s="23"/>
      <c r="E16" s="23"/>
      <c r="F16" s="23"/>
      <c r="G16" s="23"/>
    </row>
    <row r="17" spans="1:7" x14ac:dyDescent="0.45">
      <c r="A17" s="39" t="s">
        <v>124</v>
      </c>
      <c r="B17" s="24" t="s">
        <v>163</v>
      </c>
      <c r="C17" s="24" t="s">
        <v>161</v>
      </c>
      <c r="D17" s="24" t="s">
        <v>164</v>
      </c>
      <c r="E17" s="18"/>
      <c r="F17" s="18"/>
      <c r="G17" s="18"/>
    </row>
    <row r="18" spans="1:7" x14ac:dyDescent="0.45">
      <c r="A18" s="34" t="s">
        <v>20</v>
      </c>
      <c r="B18" s="25">
        <f>AVERAGEIF(Dataset!$A$2:$A$51,A18,Dataset!$P$2:$P$51)</f>
        <v>90.25</v>
      </c>
      <c r="C18" s="17">
        <f>COUNTIF(Dataset!$A$2:$A$51,A18)</f>
        <v>4</v>
      </c>
      <c r="D18" s="25">
        <f>_xlfn.MINIFS(Dataset!$P$2:$P$51,Dataset!$A$2:$A$51,A18)</f>
        <v>84</v>
      </c>
      <c r="E18" s="18"/>
      <c r="F18" s="18"/>
      <c r="G18" s="18"/>
    </row>
    <row r="19" spans="1:7" x14ac:dyDescent="0.45">
      <c r="A19" s="35" t="s">
        <v>21</v>
      </c>
      <c r="B19" s="26">
        <f>AVERAGEIF(Dataset!$A$2:$A$51,A19,Dataset!$P$2:$P$51)</f>
        <v>99</v>
      </c>
      <c r="C19" s="20">
        <f>COUNTIF(Dataset!$A$2:$A$51,A19)</f>
        <v>1</v>
      </c>
      <c r="D19" s="26">
        <f>_xlfn.MINIFS(Dataset!$P$2:$P$51,Dataset!$A$2:$A$51,A19)</f>
        <v>99</v>
      </c>
      <c r="E19" s="18"/>
      <c r="F19" s="18"/>
      <c r="G19" s="18"/>
    </row>
    <row r="20" spans="1:7" x14ac:dyDescent="0.45">
      <c r="A20" s="36" t="s">
        <v>19</v>
      </c>
      <c r="B20" s="27">
        <f>AVERAGEIF(Dataset!$A$2:$A$51,A20,Dataset!$P$2:$P$51)</f>
        <v>84.2</v>
      </c>
      <c r="C20" s="22">
        <f>COUNTIF(Dataset!$A$2:$A$51,A20)</f>
        <v>5</v>
      </c>
      <c r="D20" s="27">
        <f>_xlfn.MINIFS(Dataset!$P$2:$P$51,Dataset!$A$2:$A$51,A20)</f>
        <v>81</v>
      </c>
      <c r="E20" s="18"/>
      <c r="F20" s="18"/>
      <c r="G20" s="18"/>
    </row>
    <row r="21" spans="1:7" x14ac:dyDescent="0.45">
      <c r="A21" s="37"/>
      <c r="B21" s="18"/>
      <c r="C21" s="18"/>
      <c r="D21" s="18"/>
      <c r="E21" s="18"/>
      <c r="F21" s="18"/>
      <c r="G21" s="18"/>
    </row>
    <row r="22" spans="1:7" x14ac:dyDescent="0.45">
      <c r="A22" s="37"/>
      <c r="B22" s="18"/>
      <c r="C22" s="18"/>
      <c r="D22" s="18"/>
      <c r="E22" s="18"/>
      <c r="F22" s="18"/>
      <c r="G22" s="18"/>
    </row>
    <row r="23" spans="1:7" ht="15.75" x14ac:dyDescent="0.5">
      <c r="A23" s="38" t="s">
        <v>165</v>
      </c>
      <c r="B23" s="23"/>
      <c r="C23" s="23"/>
      <c r="D23" s="23"/>
      <c r="E23" s="23"/>
      <c r="F23" s="23"/>
      <c r="G23" s="23"/>
    </row>
    <row r="24" spans="1:7" x14ac:dyDescent="0.45">
      <c r="A24" s="39" t="s">
        <v>125</v>
      </c>
      <c r="B24" s="24" t="s">
        <v>163</v>
      </c>
      <c r="C24" s="24" t="s">
        <v>166</v>
      </c>
      <c r="D24" s="24" t="s">
        <v>167</v>
      </c>
      <c r="E24" s="24" t="s">
        <v>168</v>
      </c>
      <c r="F24" s="24" t="s">
        <v>161</v>
      </c>
      <c r="G24" s="24" t="s">
        <v>169</v>
      </c>
    </row>
    <row r="25" spans="1:7" x14ac:dyDescent="0.45">
      <c r="A25" s="34" t="s">
        <v>64</v>
      </c>
      <c r="B25" s="25">
        <f>AVERAGEIF(Dataset!$B$2:$B$51,A25,Dataset!$P$2:$P$51)</f>
        <v>87.9</v>
      </c>
      <c r="C25" s="25">
        <f>AVERAGEIF(Dataset!$B$2:$B$51,A25,Dataset!$J$2:$J$51)</f>
        <v>93.2</v>
      </c>
      <c r="D25" s="28">
        <f>AVERAGEIF(Dataset!$B$2:$B$51,A25,Dataset!$H$2:$H$51)</f>
        <v>2.4980000000000002</v>
      </c>
      <c r="E25" s="16">
        <f>AVERAGEIF(Dataset!$B$2:$B$51,A25,Dataset!$C$2:$C$51)</f>
        <v>15</v>
      </c>
      <c r="F25" s="17">
        <f>COUNTIF(Dataset!$B$2:$B$51,A25)</f>
        <v>10</v>
      </c>
      <c r="G25" s="29">
        <f>COUNTIFS(Dataset!$B$2:$B$51,A25,Dataset!$E$2:$E$51,"High")/COUNTIF(Dataset!$B$2:$B$51,A25)</f>
        <v>0.3</v>
      </c>
    </row>
    <row r="26" spans="1:7" x14ac:dyDescent="0.45">
      <c r="A26" s="35" t="s">
        <v>62</v>
      </c>
      <c r="B26" s="26">
        <f>AVERAGEIF(Dataset!$B$2:$B$51,A26,Dataset!$P$2:$P$51)</f>
        <v>90.888888888888886</v>
      </c>
      <c r="C26" s="26">
        <f>AVERAGEIF(Dataset!$B$2:$B$51,A26,Dataset!$J$2:$J$51)</f>
        <v>92.555555555555557</v>
      </c>
      <c r="D26" s="30">
        <f>AVERAGEIF(Dataset!$B$2:$B$51,A26,Dataset!$H$2:$H$51)</f>
        <v>2.5677777777777777</v>
      </c>
      <c r="E26" s="19">
        <f>AVERAGEIF(Dataset!$B$2:$B$51,A26,Dataset!$C$2:$C$51)</f>
        <v>16.444444444444443</v>
      </c>
      <c r="F26" s="20">
        <f>COUNTIF(Dataset!$B$2:$B$51,A26)</f>
        <v>9</v>
      </c>
      <c r="G26" s="31">
        <f>COUNTIFS(Dataset!$B$2:$B$51,A26,Dataset!$E$2:$E$51,"High")/COUNTIF(Dataset!$B$2:$B$51,A26)</f>
        <v>0</v>
      </c>
    </row>
    <row r="27" spans="1:7" x14ac:dyDescent="0.45">
      <c r="A27" s="34" t="s">
        <v>65</v>
      </c>
      <c r="B27" s="25">
        <f>AVERAGEIF(Dataset!$B$2:$B$51,A27,Dataset!$P$2:$P$51)</f>
        <v>91.545454545454547</v>
      </c>
      <c r="C27" s="25">
        <f>AVERAGEIF(Dataset!$B$2:$B$51,A27,Dataset!$J$2:$J$51)</f>
        <v>91.818181818181813</v>
      </c>
      <c r="D27" s="28">
        <f>AVERAGEIF(Dataset!$B$2:$B$51,A27,Dataset!$H$2:$H$51)</f>
        <v>2.2190909090909092</v>
      </c>
      <c r="E27" s="16">
        <f>AVERAGEIF(Dataset!$B$2:$B$51,A27,Dataset!$C$2:$C$51)</f>
        <v>10.727272727272727</v>
      </c>
      <c r="F27" s="17">
        <f>COUNTIF(Dataset!$B$2:$B$51,A27)</f>
        <v>11</v>
      </c>
      <c r="G27" s="29">
        <f>COUNTIFS(Dataset!$B$2:$B$51,A27,Dataset!$E$2:$E$51,"High")/COUNTIF(Dataset!$B$2:$B$51,A27)</f>
        <v>0.27272727272727271</v>
      </c>
    </row>
    <row r="28" spans="1:7" x14ac:dyDescent="0.45">
      <c r="A28" s="35" t="s">
        <v>66</v>
      </c>
      <c r="B28" s="26">
        <f>AVERAGEIF(Dataset!$B$2:$B$51,A28,Dataset!$P$2:$P$51)</f>
        <v>88</v>
      </c>
      <c r="C28" s="26">
        <f>AVERAGEIF(Dataset!$B$2:$B$51,A28,Dataset!$J$2:$J$51)</f>
        <v>91.428571428571431</v>
      </c>
      <c r="D28" s="30">
        <f>AVERAGEIF(Dataset!$B$2:$B$51,A28,Dataset!$H$2:$H$51)</f>
        <v>2.8885714285714283</v>
      </c>
      <c r="E28" s="19">
        <f>AVERAGEIF(Dataset!$B$2:$B$51,A28,Dataset!$C$2:$C$51)</f>
        <v>11</v>
      </c>
      <c r="F28" s="20">
        <f>COUNTIF(Dataset!$B$2:$B$51,A28)</f>
        <v>7</v>
      </c>
      <c r="G28" s="31">
        <f>COUNTIFS(Dataset!$B$2:$B$51,A28,Dataset!$E$2:$E$51,"High")/COUNTIF(Dataset!$B$2:$B$51,A28)</f>
        <v>0.2857142857142857</v>
      </c>
    </row>
    <row r="29" spans="1:7" x14ac:dyDescent="0.45">
      <c r="A29" s="34" t="s">
        <v>63</v>
      </c>
      <c r="B29" s="25">
        <f>AVERAGEIF(Dataset!$B$2:$B$51,A29,Dataset!$P$2:$P$51)</f>
        <v>90.615384615384613</v>
      </c>
      <c r="C29" s="25">
        <f>AVERAGEIF(Dataset!$B$2:$B$51,A29,Dataset!$J$2:$J$51)</f>
        <v>92.84615384615384</v>
      </c>
      <c r="D29" s="28">
        <f>AVERAGEIF(Dataset!$B$2:$B$51,A29,Dataset!$H$2:$H$51)</f>
        <v>2.5961538461538463</v>
      </c>
      <c r="E29" s="16">
        <f>AVERAGEIF(Dataset!$B$2:$B$51,A29,Dataset!$C$2:$C$51)</f>
        <v>14.23076923076923</v>
      </c>
      <c r="F29" s="17">
        <f>COUNTIF(Dataset!$B$2:$B$51,A29)</f>
        <v>13</v>
      </c>
      <c r="G29" s="29">
        <f>COUNTIFS(Dataset!$B$2:$B$51,A29,Dataset!$E$2:$E$51,"High")/COUNTIF(Dataset!$B$2:$B$51,A29)</f>
        <v>0.30769230769230771</v>
      </c>
    </row>
    <row r="30" spans="1:7" x14ac:dyDescent="0.45">
      <c r="A30" s="40" t="s">
        <v>170</v>
      </c>
      <c r="B30" s="32"/>
      <c r="C30" s="32"/>
      <c r="D30" s="32"/>
      <c r="E30" s="32"/>
      <c r="F30" s="33">
        <f>SUM(F25:F29)</f>
        <v>50</v>
      </c>
      <c r="G30" s="32"/>
    </row>
  </sheetData>
  <mergeCells count="6">
    <mergeCell ref="A1:G1"/>
    <mergeCell ref="A2:G2"/>
    <mergeCell ref="A4:G6"/>
    <mergeCell ref="A9:G9"/>
    <mergeCell ref="A16:G16"/>
    <mergeCell ref="A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G6" sqref="G6"/>
    </sheetView>
  </sheetViews>
  <sheetFormatPr defaultColWidth="13" defaultRowHeight="14.25" x14ac:dyDescent="0.45"/>
  <cols>
    <col min="4" max="4" width="13" style="1"/>
    <col min="7" max="7" width="13.46484375" customWidth="1"/>
  </cols>
  <sheetData>
    <row r="1" spans="1:20" s="4" customFormat="1" ht="42.75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4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4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4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4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4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4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4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4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4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4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4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4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4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4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4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4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4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4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4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4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4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4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4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4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4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4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4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4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4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4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4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4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4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4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4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4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4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4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4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4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4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4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4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4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4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4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4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4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4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4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4"/>
  <sheetViews>
    <sheetView workbookViewId="0">
      <selection activeCell="K2" sqref="K2"/>
    </sheetView>
  </sheetViews>
  <sheetFormatPr defaultColWidth="8.796875" defaultRowHeight="14.25" x14ac:dyDescent="0.45"/>
  <cols>
    <col min="1" max="5" width="20.1328125" customWidth="1"/>
    <col min="6" max="9" width="20.1328125" style="4" customWidth="1"/>
    <col min="10" max="11" width="20.1328125" customWidth="1"/>
  </cols>
  <sheetData>
    <row r="1" spans="1:9" ht="28.5" x14ac:dyDescent="0.45">
      <c r="A1" t="s">
        <v>124</v>
      </c>
      <c r="B1" t="s">
        <v>125</v>
      </c>
      <c r="C1" t="s">
        <v>126</v>
      </c>
      <c r="D1" t="s">
        <v>4</v>
      </c>
      <c r="E1" t="s">
        <v>127</v>
      </c>
      <c r="F1" s="4" t="s">
        <v>128</v>
      </c>
      <c r="G1" s="4" t="s">
        <v>129</v>
      </c>
      <c r="H1" s="4" t="s">
        <v>130</v>
      </c>
      <c r="I1" s="4" t="s">
        <v>131</v>
      </c>
    </row>
    <row r="2" spans="1:9" ht="156.75" x14ac:dyDescent="0.45">
      <c r="A2" t="s">
        <v>21</v>
      </c>
      <c r="B2" t="s">
        <v>64</v>
      </c>
      <c r="C2" s="5">
        <v>45641</v>
      </c>
      <c r="D2" t="s">
        <v>68</v>
      </c>
      <c r="E2" t="s">
        <v>132</v>
      </c>
      <c r="F2" s="4" t="s">
        <v>135</v>
      </c>
      <c r="G2" s="4" t="s">
        <v>138</v>
      </c>
      <c r="H2" s="4" t="s">
        <v>139</v>
      </c>
      <c r="I2" s="4" t="s">
        <v>144</v>
      </c>
    </row>
    <row r="3" spans="1:9" ht="156.75" x14ac:dyDescent="0.45">
      <c r="A3" t="s">
        <v>54</v>
      </c>
      <c r="B3" t="s">
        <v>66</v>
      </c>
      <c r="C3" s="5">
        <v>45644</v>
      </c>
      <c r="D3" t="s">
        <v>68</v>
      </c>
      <c r="E3" t="s">
        <v>133</v>
      </c>
      <c r="F3" s="4" t="s">
        <v>136</v>
      </c>
      <c r="G3" s="4" t="s">
        <v>140</v>
      </c>
      <c r="H3" s="4" t="s">
        <v>141</v>
      </c>
      <c r="I3" s="4" t="s">
        <v>145</v>
      </c>
    </row>
    <row r="4" spans="1:9" ht="156.75" x14ac:dyDescent="0.45">
      <c r="A4" t="s">
        <v>55</v>
      </c>
      <c r="B4" t="s">
        <v>65</v>
      </c>
      <c r="C4" s="5">
        <v>45645</v>
      </c>
      <c r="D4" t="s">
        <v>68</v>
      </c>
      <c r="E4" t="s">
        <v>134</v>
      </c>
      <c r="F4" s="4" t="s">
        <v>137</v>
      </c>
      <c r="G4" s="4" t="s">
        <v>142</v>
      </c>
      <c r="H4" s="4" t="s">
        <v>143</v>
      </c>
      <c r="I4" s="4" t="s">
        <v>146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Supply Chain Summary</vt:lpstr>
      <vt:lpstr>Dataset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Shah-Aga, Said-Aga</dc:creator>
  <cp:keywords/>
  <dc:description/>
  <cp:lastModifiedBy>Shah-Aga, Said-Aga</cp:lastModifiedBy>
  <dcterms:created xsi:type="dcterms:W3CDTF">2024-12-04T18:55:38Z</dcterms:created>
  <dcterms:modified xsi:type="dcterms:W3CDTF">2026-08-28T09:32:45Z</dcterms:modified>
  <cp:category/>
</cp:coreProperties>
</file>