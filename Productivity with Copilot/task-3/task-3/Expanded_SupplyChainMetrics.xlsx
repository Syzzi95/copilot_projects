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myoffice.accenture.com/personal/said-aga_shah-aga_accenture_com/Documents/Desktop/Improve productivity with co-pilot/task-3/task-3/"/>
    </mc:Choice>
  </mc:AlternateContent>
  <xr:revisionPtr revIDLastSave="153" documentId="13_ncr:1_{D54EB1CC-AC92-2241-8712-3894AC38D8E3}" xr6:coauthVersionLast="47" xr6:coauthVersionMax="47" xr10:uidLastSave="{298FF6D3-AE56-41A6-9EBF-7B8C07C9D022}"/>
  <bookViews>
    <workbookView xWindow="43572" yWindow="-2940" windowWidth="20856" windowHeight="16776" tabRatio="839" activeTab="1" xr2:uid="{00000000-000D-0000-FFFF-FFFF00000000}"/>
  </bookViews>
  <sheets>
    <sheet name="Dataset" sheetId="1" r:id="rId1"/>
    <sheet name="Analysis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9" l="1"/>
  <c r="A7" i="9"/>
  <c r="A6" i="9"/>
  <c r="A5" i="9"/>
  <c r="I23" i="9"/>
  <c r="I22" i="9"/>
  <c r="I21" i="9"/>
  <c r="I20" i="9"/>
  <c r="I19" i="9"/>
  <c r="H23" i="9"/>
  <c r="H22" i="9"/>
  <c r="H21" i="9"/>
  <c r="H20" i="9"/>
  <c r="H19" i="9"/>
  <c r="G23" i="9"/>
  <c r="G22" i="9"/>
  <c r="G21" i="9"/>
  <c r="G20" i="9"/>
  <c r="G19" i="9"/>
  <c r="F23" i="9"/>
  <c r="F22" i="9"/>
  <c r="F21" i="9"/>
  <c r="F20" i="9"/>
  <c r="F19" i="9"/>
  <c r="E23" i="9"/>
  <c r="E22" i="9"/>
  <c r="E21" i="9"/>
  <c r="E20" i="9"/>
  <c r="E19" i="9"/>
  <c r="D23" i="9"/>
  <c r="D22" i="9"/>
  <c r="D21" i="9"/>
  <c r="D20" i="9"/>
  <c r="D19" i="9"/>
  <c r="C23" i="9"/>
  <c r="C22" i="9"/>
  <c r="C21" i="9"/>
  <c r="C20" i="9"/>
  <c r="C19" i="9"/>
  <c r="B23" i="9"/>
  <c r="B22" i="9"/>
  <c r="B21" i="9"/>
  <c r="B20" i="9"/>
  <c r="B19" i="9"/>
  <c r="I14" i="9"/>
  <c r="I13" i="9"/>
  <c r="I12" i="9"/>
  <c r="H14" i="9"/>
  <c r="H13" i="9"/>
  <c r="H12" i="9"/>
  <c r="G14" i="9"/>
  <c r="G13" i="9"/>
  <c r="G12" i="9"/>
  <c r="F14" i="9" a="1"/>
  <c r="F14" i="9" s="1"/>
  <c r="F13" i="9" a="1"/>
  <c r="F13" i="9" s="1"/>
  <c r="F12" i="9" a="1"/>
  <c r="F12" i="9" s="1"/>
  <c r="C14" i="9"/>
  <c r="C13" i="9"/>
  <c r="C12" i="9"/>
  <c r="B14" i="9"/>
  <c r="B13" i="9"/>
  <c r="B1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<sst xmlns="http://schemas.openxmlformats.org/spreadsheetml/2006/main" count="303" uniqueCount="142">
  <si>
    <t>Component Number</t>
  </si>
  <si>
    <t>Supplier Name</t>
  </si>
  <si>
    <t>Delivery Timeline (Days)</t>
  </si>
  <si>
    <t>Raw Material Cost ($)</t>
  </si>
  <si>
    <t>Risk Level</t>
  </si>
  <si>
    <t>Mitigation Plan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</si>
  <si>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</si>
  <si>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</si>
  <si>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</si>
  <si>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</si>
  <si>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</si>
  <si>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</si>
  <si>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</si>
  <si>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</si>
  <si>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</si>
  <si>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</si>
  <si>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</si>
  <si>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</si>
  <si>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</si>
  <si>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COAT890</t>
  </si>
  <si>
    <t>CARB123</t>
  </si>
  <si>
    <t>BIND567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</si>
  <si>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</si>
  <si>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</si>
  <si>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</si>
  <si>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</si>
  <si>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</si>
  <si>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</si>
  <si>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</si>
  <si>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</si>
  <si>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</si>
  <si>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</si>
  <si>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</si>
  <si>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</si>
  <si>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</si>
  <si>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</si>
  <si>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</si>
  <si>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</si>
  <si>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</si>
  <si>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</si>
  <si>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</si>
  <si>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</si>
  <si>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</si>
  <si>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</si>
  <si>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</si>
  <si>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</si>
  <si>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</si>
  <si>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</si>
  <si>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</si>
  <si>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</si>
  <si>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</si>
  <si>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</si>
  <si>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</si>
  <si>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</si>
  <si>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</si>
  <si>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</si>
  <si>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</si>
  <si>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</si>
  <si>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</si>
  <si>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</si>
  <si>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</si>
  <si>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</si>
  <si>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GlobalChem</t>
  </si>
  <si>
    <t>RawMatPlus</t>
  </si>
  <si>
    <t>EcoSupply</t>
  </si>
  <si>
    <t>NextGen Pharma</t>
  </si>
  <si>
    <t>PrimeLogistics</t>
  </si>
  <si>
    <t>Low</t>
  </si>
  <si>
    <t>Medium</t>
  </si>
  <si>
    <t>High</t>
  </si>
  <si>
    <t>Source Alternative</t>
  </si>
  <si>
    <t>Review Contract</t>
  </si>
  <si>
    <t>Negotiate Terms</t>
  </si>
  <si>
    <t>Expedite Shipping</t>
  </si>
  <si>
    <t>Increase Inventory</t>
  </si>
  <si>
    <t>2024-12-04</t>
  </si>
  <si>
    <t>2024-12-15</t>
  </si>
  <si>
    <t>2024-04-28</t>
  </si>
  <si>
    <t>2024-05-21</t>
  </si>
  <si>
    <t>2024-07-21</t>
  </si>
  <si>
    <t>2024-03-21</t>
  </si>
  <si>
    <t>2024-02-10</t>
  </si>
  <si>
    <t>2024-09-01</t>
  </si>
  <si>
    <t>2024-11-16</t>
  </si>
  <si>
    <t>2024-09-15</t>
  </si>
  <si>
    <t>2024-02-17</t>
  </si>
  <si>
    <t>2024-06-14</t>
  </si>
  <si>
    <t>2024-03-09</t>
  </si>
  <si>
    <t>2024-07-02</t>
  </si>
  <si>
    <t>2024-01-24</t>
  </si>
  <si>
    <t>2024-10-20</t>
  </si>
  <si>
    <t>2024-06-25</t>
  </si>
  <si>
    <t>2024-08-27</t>
  </si>
  <si>
    <t>2024-10-07</t>
  </si>
  <si>
    <t>2024-11-09</t>
  </si>
  <si>
    <t>2024-01-10</t>
  </si>
  <si>
    <t>2024-03-14</t>
  </si>
  <si>
    <t>2024-05-27</t>
  </si>
  <si>
    <t>2024-05-06</t>
  </si>
  <si>
    <t>2024-01-17</t>
  </si>
  <si>
    <t>2024-06-13</t>
  </si>
  <si>
    <t>2024-10-21</t>
  </si>
  <si>
    <t>2024-04-05</t>
  </si>
  <si>
    <t>2024-07-08</t>
  </si>
  <si>
    <t>2024-07-27</t>
  </si>
  <si>
    <t>2024-04-09</t>
  </si>
  <si>
    <t>2024-04-27</t>
  </si>
  <si>
    <t>2024-10-08</t>
  </si>
  <si>
    <t>2024-10-22</t>
  </si>
  <si>
    <t>2024-02-16</t>
  </si>
  <si>
    <t>2024-11-04</t>
  </si>
  <si>
    <t>2024-11-13</t>
  </si>
  <si>
    <t>2024-08-15</t>
  </si>
  <si>
    <t>2024-08-07</t>
  </si>
  <si>
    <t>2024-09-25</t>
  </si>
  <si>
    <t>2024-12-18</t>
  </si>
  <si>
    <t>2024-12-19</t>
  </si>
  <si>
    <t>2024-05-23</t>
  </si>
  <si>
    <t>2024-02-13</t>
  </si>
  <si>
    <t>2024-04-25</t>
  </si>
  <si>
    <t>2024-03-08</t>
  </si>
  <si>
    <t>2024-11-19</t>
  </si>
  <si>
    <t>2024-05-15</t>
  </si>
  <si>
    <t>Supply Chain Expected Date</t>
  </si>
  <si>
    <t>Supplier</t>
  </si>
  <si>
    <t>SUPPLY CHAIN PERFORMANCE ANALYSIS</t>
  </si>
  <si>
    <t>Delivery risk, delayed-component performance, and supplier scorecard | 50 source records</t>
  </si>
  <si>
    <t>KEY FINDINGS</t>
  </si>
  <si>
    <t>DELIVERY &amp; RISK OVERVIEW</t>
  </si>
  <si>
    <t>Avg Delivery (Days)</t>
  </si>
  <si>
    <t>Records</t>
  </si>
  <si>
    <t>Delayed Component</t>
  </si>
  <si>
    <t>Supplier(s)</t>
  </si>
  <si>
    <t>Avg On-Time Rate</t>
  </si>
  <si>
    <t>SUPPLIER PERFORMANCE SCORECARD</t>
  </si>
  <si>
    <t>Avg Delivery</t>
  </si>
  <si>
    <t>On-Time Rate</t>
  </si>
  <si>
    <t>Reliability</t>
  </si>
  <si>
    <t>Defect Rate</t>
  </si>
  <si>
    <t>Inspection Pass</t>
  </si>
  <si>
    <t>Avg Backorders</t>
  </si>
  <si>
    <t>Lead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</si>
</sst>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"/>
    <numFmt numFmtId="166" formatCode="0.0&quot;%&quot;"/>
    <numFmt numFmtId="167" formatCode="0.00&quot;%&quot;"/>
    <numFmt numFmtId="168" formatCode="#,##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1" applyFont="1"/>
    <xf numFmtId="0" fontId="1" fillId="0" borderId="1" xfId="0" applyFont="1" applyBorder="1" applyAlignment="1">
      <alignment horizontal="center" vertical="top" wrapText="1"/>
    </xf>
    <xf numFmtId="16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/>
    <xf numFmtId="0" fontId="7" fillId="4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vertical="center" wrapText="1"/>
    </xf>
    <xf numFmtId="165" fontId="7" fillId="5" borderId="0" xfId="0" applyNumberFormat="1" applyFont="1" applyFill="1" applyAlignment="1">
      <alignment horizontal="right" vertical="center"/>
    </xf>
    <xf numFmtId="1" fontId="7" fillId="5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1" fontId="7" fillId="5" borderId="0" xfId="0" applyNumberFormat="1" applyFont="1" applyFill="1" applyAlignment="1">
      <alignment horizontal="right" vertical="center" wrapText="1"/>
    </xf>
    <xf numFmtId="165" fontId="7" fillId="5" borderId="0" xfId="0" applyNumberFormat="1" applyFont="1" applyFill="1" applyAlignment="1">
      <alignment horizontal="right" vertical="center" wrapText="1"/>
    </xf>
    <xf numFmtId="166" fontId="7" fillId="5" borderId="0" xfId="0" applyNumberFormat="1" applyFont="1" applyFill="1" applyAlignment="1">
      <alignment horizontal="right" vertical="center" wrapText="1"/>
    </xf>
    <xf numFmtId="1" fontId="7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166" fontId="7" fillId="0" borderId="0" xfId="0" applyNumberFormat="1" applyFont="1" applyAlignment="1">
      <alignment horizontal="right" vertical="center" wrapText="1"/>
    </xf>
    <xf numFmtId="166" fontId="7" fillId="5" borderId="0" xfId="0" applyNumberFormat="1" applyFont="1" applyFill="1" applyAlignment="1">
      <alignment horizontal="right" vertical="center"/>
    </xf>
    <xf numFmtId="167" fontId="7" fillId="5" borderId="0" xfId="0" applyNumberFormat="1" applyFont="1" applyFill="1" applyAlignment="1">
      <alignment horizontal="right" vertical="center" wrapText="1"/>
    </xf>
    <xf numFmtId="168" fontId="7" fillId="5" borderId="0" xfId="0" applyNumberFormat="1" applyFont="1" applyFill="1" applyAlignment="1">
      <alignment horizontal="right" vertical="center" wrapText="1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 wrapText="1"/>
    </xf>
    <xf numFmtId="168" fontId="7" fillId="0" borderId="0" xfId="0" applyNumberFormat="1" applyFont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2">
    <dxf>
      <font>
        <color rgb="FF8A5A00"/>
      </font>
      <fill>
        <patternFill patternType="solid">
          <fgColor indexed="64"/>
          <bgColor rgb="FFFFF4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activeCell="J12" sqref="J12"/>
    </sheetView>
  </sheetViews>
  <sheetFormatPr defaultColWidth="13" defaultRowHeight="14.5" x14ac:dyDescent="0.35"/>
  <cols>
    <col min="4" max="4" width="13" style="1"/>
  </cols>
  <sheetData>
    <row r="1" spans="1:20" s="4" customFormat="1" ht="43.5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123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t="s">
        <v>21</v>
      </c>
      <c r="B2" t="s">
        <v>64</v>
      </c>
      <c r="C2">
        <v>64</v>
      </c>
      <c r="D2" s="1">
        <v>1309</v>
      </c>
      <c r="E2" t="s">
        <v>68</v>
      </c>
      <c r="F2" t="s">
        <v>72</v>
      </c>
      <c r="G2" t="s">
        <v>76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35">
      <c r="A3" t="s">
        <v>20</v>
      </c>
      <c r="B3" t="s">
        <v>63</v>
      </c>
      <c r="C3">
        <v>62</v>
      </c>
      <c r="D3" s="1">
        <v>1112</v>
      </c>
      <c r="E3" t="s">
        <v>68</v>
      </c>
      <c r="F3" t="s">
        <v>71</v>
      </c>
      <c r="G3" t="s">
        <v>76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35">
      <c r="A4" t="s">
        <v>20</v>
      </c>
      <c r="B4" t="s">
        <v>63</v>
      </c>
      <c r="C4">
        <v>10</v>
      </c>
      <c r="D4" s="1">
        <v>1108</v>
      </c>
      <c r="E4" t="s">
        <v>69</v>
      </c>
      <c r="F4" t="s">
        <v>73</v>
      </c>
      <c r="G4" t="s">
        <v>79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35">
      <c r="A5" t="s">
        <v>20</v>
      </c>
      <c r="B5" t="s">
        <v>63</v>
      </c>
      <c r="C5">
        <v>12</v>
      </c>
      <c r="D5" s="1">
        <v>1046</v>
      </c>
      <c r="E5" t="s">
        <v>67</v>
      </c>
      <c r="F5" t="s">
        <v>72</v>
      </c>
      <c r="G5" t="s">
        <v>80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35">
      <c r="A6" t="s">
        <v>20</v>
      </c>
      <c r="B6" t="s">
        <v>63</v>
      </c>
      <c r="C6">
        <v>9</v>
      </c>
      <c r="D6" s="1">
        <v>1393</v>
      </c>
      <c r="E6" t="s">
        <v>69</v>
      </c>
      <c r="F6" t="s">
        <v>74</v>
      </c>
      <c r="G6" t="s">
        <v>81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35">
      <c r="A7" t="s">
        <v>19</v>
      </c>
      <c r="B7" t="s">
        <v>62</v>
      </c>
      <c r="C7">
        <v>60</v>
      </c>
      <c r="D7" s="1">
        <v>1125</v>
      </c>
      <c r="E7" t="s">
        <v>67</v>
      </c>
      <c r="F7" t="s">
        <v>70</v>
      </c>
      <c r="G7" t="s">
        <v>75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35">
      <c r="A8" t="s">
        <v>19</v>
      </c>
      <c r="B8" t="s">
        <v>62</v>
      </c>
      <c r="C8">
        <v>15</v>
      </c>
      <c r="D8" s="1">
        <v>1116</v>
      </c>
      <c r="E8" t="s">
        <v>68</v>
      </c>
      <c r="F8" t="s">
        <v>72</v>
      </c>
      <c r="G8" t="s">
        <v>77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35">
      <c r="A9" t="s">
        <v>19</v>
      </c>
      <c r="B9" t="s">
        <v>63</v>
      </c>
      <c r="C9">
        <v>8</v>
      </c>
      <c r="D9" s="1">
        <v>1083</v>
      </c>
      <c r="E9" t="s">
        <v>68</v>
      </c>
      <c r="F9" t="s">
        <v>73</v>
      </c>
      <c r="G9" t="s">
        <v>78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35">
      <c r="A10" t="s">
        <v>19</v>
      </c>
      <c r="B10" t="s">
        <v>65</v>
      </c>
      <c r="C10">
        <v>10</v>
      </c>
      <c r="D10" s="1">
        <v>1390</v>
      </c>
      <c r="E10" t="s">
        <v>67</v>
      </c>
      <c r="F10" t="s">
        <v>71</v>
      </c>
      <c r="G10" t="s">
        <v>82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35">
      <c r="A11" t="s">
        <v>19</v>
      </c>
      <c r="B11" t="s">
        <v>62</v>
      </c>
      <c r="C11">
        <v>13</v>
      </c>
      <c r="D11" s="1">
        <v>1392</v>
      </c>
      <c r="E11" t="s">
        <v>67</v>
      </c>
      <c r="F11" t="s">
        <v>70</v>
      </c>
      <c r="G11" t="s">
        <v>83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35">
      <c r="A12" t="s">
        <v>22</v>
      </c>
      <c r="B12" t="s">
        <v>66</v>
      </c>
      <c r="C12">
        <v>15</v>
      </c>
      <c r="D12" s="1">
        <v>1332</v>
      </c>
      <c r="E12" t="s">
        <v>68</v>
      </c>
      <c r="F12" t="s">
        <v>73</v>
      </c>
      <c r="G12" t="s">
        <v>84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35">
      <c r="A13" t="s">
        <v>23</v>
      </c>
      <c r="B13" t="s">
        <v>65</v>
      </c>
      <c r="C13">
        <v>6</v>
      </c>
      <c r="D13" s="1">
        <v>1463</v>
      </c>
      <c r="E13" t="s">
        <v>67</v>
      </c>
      <c r="F13" t="s">
        <v>74</v>
      </c>
      <c r="G13" t="s">
        <v>85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35">
      <c r="A14" t="s">
        <v>24</v>
      </c>
      <c r="B14" t="s">
        <v>66</v>
      </c>
      <c r="C14">
        <v>8</v>
      </c>
      <c r="D14" s="1">
        <v>1048</v>
      </c>
      <c r="E14" t="s">
        <v>67</v>
      </c>
      <c r="F14" t="s">
        <v>73</v>
      </c>
      <c r="G14" t="s">
        <v>86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35">
      <c r="A15" t="s">
        <v>25</v>
      </c>
      <c r="B15" t="s">
        <v>65</v>
      </c>
      <c r="C15">
        <v>13</v>
      </c>
      <c r="D15" s="1">
        <v>1229</v>
      </c>
      <c r="E15" t="s">
        <v>67</v>
      </c>
      <c r="F15" t="s">
        <v>73</v>
      </c>
      <c r="G15" t="s">
        <v>87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35">
      <c r="A16" t="s">
        <v>26</v>
      </c>
      <c r="B16" t="s">
        <v>65</v>
      </c>
      <c r="C16">
        <v>11</v>
      </c>
      <c r="D16" s="1">
        <v>1248</v>
      </c>
      <c r="E16" t="s">
        <v>68</v>
      </c>
      <c r="F16" t="s">
        <v>70</v>
      </c>
      <c r="G16" t="s">
        <v>88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35">
      <c r="A17" t="s">
        <v>27</v>
      </c>
      <c r="B17" t="s">
        <v>65</v>
      </c>
      <c r="C17">
        <v>5</v>
      </c>
      <c r="D17" s="1">
        <v>1296</v>
      </c>
      <c r="E17" t="s">
        <v>69</v>
      </c>
      <c r="F17" t="s">
        <v>71</v>
      </c>
      <c r="G17" t="s">
        <v>89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35">
      <c r="A18" t="s">
        <v>28</v>
      </c>
      <c r="B18" t="s">
        <v>65</v>
      </c>
      <c r="C18">
        <v>11</v>
      </c>
      <c r="D18" s="1">
        <v>1061</v>
      </c>
      <c r="E18" t="s">
        <v>69</v>
      </c>
      <c r="F18" t="s">
        <v>70</v>
      </c>
      <c r="G18" t="s">
        <v>90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35">
      <c r="A19" t="s">
        <v>29</v>
      </c>
      <c r="B19" t="s">
        <v>65</v>
      </c>
      <c r="C19">
        <v>15</v>
      </c>
      <c r="D19" s="1">
        <v>1330</v>
      </c>
      <c r="E19" t="s">
        <v>68</v>
      </c>
      <c r="F19" t="s">
        <v>73</v>
      </c>
      <c r="G19" t="s">
        <v>91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35">
      <c r="A20" t="s">
        <v>30</v>
      </c>
      <c r="B20" t="s">
        <v>62</v>
      </c>
      <c r="C20">
        <v>8</v>
      </c>
      <c r="D20" s="1">
        <v>1189</v>
      </c>
      <c r="E20" t="s">
        <v>68</v>
      </c>
      <c r="F20" t="s">
        <v>70</v>
      </c>
      <c r="G20" t="s">
        <v>92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35">
      <c r="A21" t="s">
        <v>31</v>
      </c>
      <c r="B21" t="s">
        <v>62</v>
      </c>
      <c r="C21">
        <v>13</v>
      </c>
      <c r="D21" s="1">
        <v>1079</v>
      </c>
      <c r="E21" t="s">
        <v>68</v>
      </c>
      <c r="F21" t="s">
        <v>74</v>
      </c>
      <c r="G21" t="s">
        <v>93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35">
      <c r="A22" t="s">
        <v>32</v>
      </c>
      <c r="B22" t="s">
        <v>64</v>
      </c>
      <c r="C22">
        <v>5</v>
      </c>
      <c r="D22" s="1">
        <v>1001</v>
      </c>
      <c r="E22" t="s">
        <v>68</v>
      </c>
      <c r="F22" t="s">
        <v>70</v>
      </c>
      <c r="G22" t="s">
        <v>94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35">
      <c r="A23" t="s">
        <v>33</v>
      </c>
      <c r="B23" t="s">
        <v>63</v>
      </c>
      <c r="C23">
        <v>13</v>
      </c>
      <c r="D23" s="1">
        <v>1075</v>
      </c>
      <c r="E23" t="s">
        <v>68</v>
      </c>
      <c r="F23" t="s">
        <v>70</v>
      </c>
      <c r="G23" t="s">
        <v>95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35">
      <c r="A24" t="s">
        <v>34</v>
      </c>
      <c r="B24" t="s">
        <v>63</v>
      </c>
      <c r="C24">
        <v>7</v>
      </c>
      <c r="D24" s="1">
        <v>1473</v>
      </c>
      <c r="E24" t="s">
        <v>67</v>
      </c>
      <c r="F24" t="s">
        <v>70</v>
      </c>
      <c r="G24" t="s">
        <v>96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35">
      <c r="A25" t="s">
        <v>35</v>
      </c>
      <c r="B25" t="s">
        <v>66</v>
      </c>
      <c r="C25">
        <v>8</v>
      </c>
      <c r="D25" s="1">
        <v>1102</v>
      </c>
      <c r="E25" t="s">
        <v>68</v>
      </c>
      <c r="F25" t="s">
        <v>74</v>
      </c>
      <c r="G25" t="s">
        <v>97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35">
      <c r="A26" t="s">
        <v>36</v>
      </c>
      <c r="B26" t="s">
        <v>63</v>
      </c>
      <c r="C26">
        <v>10</v>
      </c>
      <c r="D26" s="1">
        <v>1480</v>
      </c>
      <c r="E26" t="s">
        <v>67</v>
      </c>
      <c r="F26" t="s">
        <v>72</v>
      </c>
      <c r="G26" t="s">
        <v>98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35">
      <c r="A27" t="s">
        <v>37</v>
      </c>
      <c r="B27" t="s">
        <v>63</v>
      </c>
      <c r="C27">
        <v>8</v>
      </c>
      <c r="D27" s="1">
        <v>1130</v>
      </c>
      <c r="E27" t="s">
        <v>67</v>
      </c>
      <c r="F27" t="s">
        <v>73</v>
      </c>
      <c r="G27" t="s">
        <v>99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35">
      <c r="A28" t="s">
        <v>38</v>
      </c>
      <c r="B28" t="s">
        <v>64</v>
      </c>
      <c r="C28">
        <v>13</v>
      </c>
      <c r="D28" s="1">
        <v>1158</v>
      </c>
      <c r="E28" t="s">
        <v>69</v>
      </c>
      <c r="F28" t="s">
        <v>73</v>
      </c>
      <c r="G28" t="s">
        <v>100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35">
      <c r="A29" t="s">
        <v>39</v>
      </c>
      <c r="B29" t="s">
        <v>64</v>
      </c>
      <c r="C29">
        <v>9</v>
      </c>
      <c r="D29" s="1">
        <v>1107</v>
      </c>
      <c r="E29" t="s">
        <v>68</v>
      </c>
      <c r="F29" t="s">
        <v>71</v>
      </c>
      <c r="G29" t="s">
        <v>101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35">
      <c r="A30" t="s">
        <v>40</v>
      </c>
      <c r="B30" t="s">
        <v>62</v>
      </c>
      <c r="C30">
        <v>8</v>
      </c>
      <c r="D30" s="1">
        <v>1344</v>
      </c>
      <c r="E30" t="s">
        <v>68</v>
      </c>
      <c r="F30" t="s">
        <v>70</v>
      </c>
      <c r="G30" t="s">
        <v>102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35">
      <c r="A31" t="s">
        <v>41</v>
      </c>
      <c r="B31" t="s">
        <v>65</v>
      </c>
      <c r="C31">
        <v>15</v>
      </c>
      <c r="D31" s="1">
        <v>1352</v>
      </c>
      <c r="E31" t="s">
        <v>67</v>
      </c>
      <c r="F31" t="s">
        <v>72</v>
      </c>
      <c r="G31" t="s">
        <v>103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35">
      <c r="A32" t="s">
        <v>42</v>
      </c>
      <c r="B32" t="s">
        <v>66</v>
      </c>
      <c r="C32">
        <v>14</v>
      </c>
      <c r="D32" s="1">
        <v>1417</v>
      </c>
      <c r="E32" t="s">
        <v>69</v>
      </c>
      <c r="F32" t="s">
        <v>71</v>
      </c>
      <c r="G32" t="s">
        <v>104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35">
      <c r="A33" t="s">
        <v>43</v>
      </c>
      <c r="B33" t="s">
        <v>64</v>
      </c>
      <c r="C33">
        <v>12</v>
      </c>
      <c r="D33" s="1">
        <v>1039</v>
      </c>
      <c r="E33" t="s">
        <v>69</v>
      </c>
      <c r="F33" t="s">
        <v>74</v>
      </c>
      <c r="G33" t="s">
        <v>105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35">
      <c r="A34" t="s">
        <v>44</v>
      </c>
      <c r="B34" t="s">
        <v>64</v>
      </c>
      <c r="C34">
        <v>13</v>
      </c>
      <c r="D34" s="1">
        <v>1238</v>
      </c>
      <c r="E34" t="s">
        <v>68</v>
      </c>
      <c r="F34" t="s">
        <v>72</v>
      </c>
      <c r="G34" t="s">
        <v>106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35">
      <c r="A35" t="s">
        <v>45</v>
      </c>
      <c r="B35" t="s">
        <v>66</v>
      </c>
      <c r="C35">
        <v>13</v>
      </c>
      <c r="D35" s="1">
        <v>1382</v>
      </c>
      <c r="E35" t="s">
        <v>69</v>
      </c>
      <c r="F35" t="s">
        <v>71</v>
      </c>
      <c r="G35" t="s">
        <v>107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35">
      <c r="A36" t="s">
        <v>46</v>
      </c>
      <c r="B36" t="s">
        <v>63</v>
      </c>
      <c r="C36">
        <v>13</v>
      </c>
      <c r="D36" s="1">
        <v>1013</v>
      </c>
      <c r="E36" t="s">
        <v>68</v>
      </c>
      <c r="F36" t="s">
        <v>71</v>
      </c>
      <c r="G36" t="s">
        <v>108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35">
      <c r="A37" t="s">
        <v>47</v>
      </c>
      <c r="B37" t="s">
        <v>64</v>
      </c>
      <c r="C37">
        <v>11</v>
      </c>
      <c r="D37" s="1">
        <v>1142</v>
      </c>
      <c r="E37" t="s">
        <v>68</v>
      </c>
      <c r="F37" t="s">
        <v>74</v>
      </c>
      <c r="G37" t="s">
        <v>109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35">
      <c r="A38" t="s">
        <v>48</v>
      </c>
      <c r="B38" t="s">
        <v>63</v>
      </c>
      <c r="C38">
        <v>7</v>
      </c>
      <c r="D38" s="1">
        <v>1122</v>
      </c>
      <c r="E38" t="s">
        <v>67</v>
      </c>
      <c r="F38" t="s">
        <v>73</v>
      </c>
      <c r="G38" t="s">
        <v>110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35">
      <c r="A39" t="s">
        <v>49</v>
      </c>
      <c r="B39" t="s">
        <v>62</v>
      </c>
      <c r="C39">
        <v>14</v>
      </c>
      <c r="D39" s="1">
        <v>1013</v>
      </c>
      <c r="E39" t="s">
        <v>68</v>
      </c>
      <c r="F39" t="s">
        <v>71</v>
      </c>
      <c r="G39" t="s">
        <v>111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35">
      <c r="A40" t="s">
        <v>50</v>
      </c>
      <c r="B40" t="s">
        <v>64</v>
      </c>
      <c r="C40">
        <v>13</v>
      </c>
      <c r="D40" s="1">
        <v>1219</v>
      </c>
      <c r="E40" t="s">
        <v>69</v>
      </c>
      <c r="F40" t="s">
        <v>74</v>
      </c>
      <c r="G40" t="s">
        <v>85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35">
      <c r="A41" t="s">
        <v>51</v>
      </c>
      <c r="B41" t="s">
        <v>63</v>
      </c>
      <c r="C41">
        <v>15</v>
      </c>
      <c r="D41" s="1">
        <v>1138</v>
      </c>
      <c r="E41" t="s">
        <v>69</v>
      </c>
      <c r="F41" t="s">
        <v>71</v>
      </c>
      <c r="G41" t="s">
        <v>112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35">
      <c r="A42" t="s">
        <v>52</v>
      </c>
      <c r="B42" t="s">
        <v>64</v>
      </c>
      <c r="C42">
        <v>5</v>
      </c>
      <c r="D42" s="1">
        <v>1253</v>
      </c>
      <c r="E42" t="s">
        <v>68</v>
      </c>
      <c r="F42" t="s">
        <v>70</v>
      </c>
      <c r="G42" t="s">
        <v>113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35">
      <c r="A43" t="s">
        <v>53</v>
      </c>
      <c r="B43" t="s">
        <v>62</v>
      </c>
      <c r="C43">
        <v>8</v>
      </c>
      <c r="D43" s="1">
        <v>1368</v>
      </c>
      <c r="E43" t="s">
        <v>68</v>
      </c>
      <c r="F43" t="s">
        <v>73</v>
      </c>
      <c r="G43" t="s">
        <v>114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35">
      <c r="A44" t="s">
        <v>54</v>
      </c>
      <c r="B44" t="s">
        <v>66</v>
      </c>
      <c r="C44">
        <v>13</v>
      </c>
      <c r="D44" s="1">
        <v>1271</v>
      </c>
      <c r="E44" t="s">
        <v>68</v>
      </c>
      <c r="F44" t="s">
        <v>73</v>
      </c>
      <c r="G44" t="s">
        <v>115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35">
      <c r="A45" t="s">
        <v>55</v>
      </c>
      <c r="B45" t="s">
        <v>65</v>
      </c>
      <c r="C45">
        <v>8</v>
      </c>
      <c r="D45" s="1">
        <v>1378</v>
      </c>
      <c r="E45" t="s">
        <v>68</v>
      </c>
      <c r="F45" t="s">
        <v>74</v>
      </c>
      <c r="G45" t="s">
        <v>116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35">
      <c r="A46" t="s">
        <v>56</v>
      </c>
      <c r="B46" t="s">
        <v>64</v>
      </c>
      <c r="C46">
        <v>5</v>
      </c>
      <c r="D46" s="1">
        <v>1498</v>
      </c>
      <c r="E46" t="s">
        <v>67</v>
      </c>
      <c r="F46" t="s">
        <v>71</v>
      </c>
      <c r="G46" t="s">
        <v>117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35">
      <c r="A47" t="s">
        <v>57</v>
      </c>
      <c r="B47" t="s">
        <v>62</v>
      </c>
      <c r="C47">
        <v>9</v>
      </c>
      <c r="D47" s="1">
        <v>1481</v>
      </c>
      <c r="E47" t="s">
        <v>68</v>
      </c>
      <c r="F47" t="s">
        <v>72</v>
      </c>
      <c r="G47" t="s">
        <v>118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35">
      <c r="A48" t="s">
        <v>58</v>
      </c>
      <c r="B48" t="s">
        <v>63</v>
      </c>
      <c r="C48">
        <v>11</v>
      </c>
      <c r="D48" s="1">
        <v>1310</v>
      </c>
      <c r="E48" t="s">
        <v>69</v>
      </c>
      <c r="F48" t="s">
        <v>71</v>
      </c>
      <c r="G48" t="s">
        <v>119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35">
      <c r="A49" t="s">
        <v>59</v>
      </c>
      <c r="B49" t="s">
        <v>65</v>
      </c>
      <c r="C49">
        <v>15</v>
      </c>
      <c r="D49" s="1">
        <v>1108</v>
      </c>
      <c r="E49" t="s">
        <v>68</v>
      </c>
      <c r="F49" t="s">
        <v>72</v>
      </c>
      <c r="G49" t="s">
        <v>120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35">
      <c r="A50" t="s">
        <v>60</v>
      </c>
      <c r="B50" t="s">
        <v>66</v>
      </c>
      <c r="C50">
        <v>6</v>
      </c>
      <c r="D50" s="1">
        <v>1351</v>
      </c>
      <c r="E50" t="s">
        <v>67</v>
      </c>
      <c r="F50" t="s">
        <v>74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35">
      <c r="A51" t="s">
        <v>61</v>
      </c>
      <c r="B51" t="s">
        <v>65</v>
      </c>
      <c r="C51">
        <v>9</v>
      </c>
      <c r="D51" s="1">
        <v>1304</v>
      </c>
      <c r="E51" t="s">
        <v>69</v>
      </c>
      <c r="F51" t="s">
        <v>71</v>
      </c>
      <c r="G51" t="s">
        <v>122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I23"/>
  <sheetViews>
    <sheetView tabSelected="1" workbookViewId="0">
      <selection activeCell="I30" sqref="I30"/>
    </sheetView>
  </sheetViews>
  <sheetFormatPr defaultColWidth="8.81640625" defaultRowHeight="14.5" x14ac:dyDescent="0.35"/>
  <cols>
    <col min="1" max="1" width="18.1796875" customWidth="1"/>
    <col min="2" max="2" width="10.54296875" customWidth="1"/>
    <col min="3" max="3" width="14.90625" customWidth="1"/>
    <col min="4" max="4" width="14.1796875" customWidth="1"/>
    <col min="5" max="5" width="16.7265625" customWidth="1"/>
    <col min="6" max="6" width="29.08984375" style="4" customWidth="1"/>
    <col min="7" max="7" width="13.08984375" style="4" customWidth="1"/>
    <col min="8" max="8" width="17.26953125" style="4" customWidth="1"/>
    <col min="9" max="9" width="15.453125" style="4" customWidth="1"/>
    <col min="10" max="11" width="20.1796875" customWidth="1"/>
  </cols>
  <sheetData>
    <row r="1" spans="1:9" ht="32" customHeight="1" x14ac:dyDescent="0.35">
      <c r="A1" s="5" t="s">
        <v>125</v>
      </c>
      <c r="B1" s="5"/>
      <c r="C1" s="5"/>
      <c r="D1" s="5"/>
      <c r="E1" s="5"/>
      <c r="F1" s="5"/>
      <c r="G1" s="5"/>
      <c r="H1" s="5"/>
      <c r="I1" s="5"/>
    </row>
    <row r="2" spans="1:9" ht="20" customHeight="1" x14ac:dyDescent="0.35">
      <c r="A2" s="6" t="s">
        <v>126</v>
      </c>
      <c r="B2" s="6"/>
      <c r="C2" s="6"/>
      <c r="D2" s="6"/>
      <c r="E2" s="6"/>
      <c r="F2" s="6"/>
      <c r="G2" s="6"/>
      <c r="H2" s="6"/>
      <c r="I2" s="6"/>
    </row>
    <row r="3" spans="1:9" x14ac:dyDescent="0.35">
      <c r="F3"/>
      <c r="G3"/>
      <c r="H3"/>
      <c r="I3"/>
    </row>
    <row r="4" spans="1:9" ht="22" customHeight="1" x14ac:dyDescent="0.35">
      <c r="A4" s="7" t="s">
        <v>127</v>
      </c>
      <c r="B4" s="7"/>
      <c r="C4" s="7"/>
      <c r="D4" s="7"/>
      <c r="E4" s="7"/>
      <c r="F4" s="7"/>
      <c r="G4" s="7"/>
      <c r="H4" s="7"/>
      <c r="I4" s="7"/>
    </row>
    <row r="5" spans="1:9" x14ac:dyDescent="0.35">
      <c r="A5" s="8" t="str">
        <f>"1. "&amp;INDEX($A$12:$A$14,MATCH(MAX($B$12:$B$14),$B$12:$B$14,0))&amp;" risk has the longest average delivery timeline at "&amp;ROUND(MAX($B$12:$B$14),1)&amp;" days."</f>
        <v>1. Medium risk has the longest average delivery timeline at 15,1 days.</v>
      </c>
      <c r="B5" s="8"/>
      <c r="C5" s="8"/>
      <c r="D5" s="8"/>
      <c r="E5" s="8"/>
      <c r="F5" s="8"/>
      <c r="G5" s="8"/>
      <c r="H5" s="8"/>
      <c r="I5" s="8"/>
    </row>
    <row r="6" spans="1:9" x14ac:dyDescent="0.35">
      <c r="A6" s="8" t="str">
        <f>"2. Among delayed components, "&amp;INDEX($E$12:$E$14,MATCH(MIN($I$12:$I$14),$I$12:$I$14,0))&amp;" has the lowest average on-time delivery rate at "&amp;ROUND(MIN($I$12:$I$14),1)&amp;"%."</f>
        <v>2. Among delayed components, COAT890 has the lowest average on-time delivery rate at 84,2%.</v>
      </c>
      <c r="B6" s="8"/>
      <c r="C6" s="8"/>
      <c r="D6" s="8"/>
      <c r="E6" s="8"/>
      <c r="F6" s="8"/>
      <c r="G6" s="8"/>
      <c r="H6" s="8"/>
      <c r="I6" s="8"/>
    </row>
    <row r="7" spans="1:9" x14ac:dyDescent="0.35">
      <c r="A7" s="8" t="str">
        <f>"3. "&amp;INDEX($A$19:$A$23,MATCH(MAX($D$19:$D$23),$D$19:$D$23,0))&amp;" leads suppliers on average on-time delivery at "&amp;ROUND(MAX($D$19:$D$23),1)&amp;"%."</f>
        <v>3. NextGen Pharma leads suppliers on average on-time delivery at 91,5%.</v>
      </c>
      <c r="B7" s="8"/>
      <c r="C7" s="8"/>
      <c r="D7" s="8"/>
      <c r="E7" s="8"/>
      <c r="F7" s="8"/>
      <c r="G7" s="8"/>
      <c r="H7" s="8"/>
      <c r="I7" s="8"/>
    </row>
    <row r="8" spans="1:9" x14ac:dyDescent="0.35">
      <c r="A8" s="8" t="str">
        <f>"4. "&amp;INDEX($A$19:$A$23,MATCH(MAX($F$19:$F$23),$F$19:$F$23,0))&amp;" has the highest average defect rate at "&amp;ROUND(MAX($F$19:$F$23),2)&amp;"%, indicating the clearest quality watchpoint."</f>
        <v>4. PrimeLogistics has the highest average defect rate at 2,89%, indicating the clearest quality watchpoint.</v>
      </c>
      <c r="B8" s="8"/>
      <c r="C8" s="8"/>
      <c r="D8" s="8"/>
      <c r="E8" s="8"/>
      <c r="F8" s="8"/>
      <c r="G8" s="8"/>
      <c r="H8" s="8"/>
      <c r="I8" s="8"/>
    </row>
    <row r="10" spans="1:9" ht="22" customHeight="1" x14ac:dyDescent="0.35">
      <c r="A10" s="7" t="s">
        <v>128</v>
      </c>
      <c r="B10" s="7"/>
      <c r="C10" s="7"/>
      <c r="D10" s="7"/>
      <c r="E10" s="7"/>
      <c r="F10" s="7"/>
      <c r="G10" s="7"/>
      <c r="H10" s="7"/>
      <c r="I10" s="7"/>
    </row>
    <row r="11" spans="1:9" ht="30" customHeight="1" x14ac:dyDescent="0.35">
      <c r="A11" s="9" t="s">
        <v>4</v>
      </c>
      <c r="B11" s="9" t="s">
        <v>129</v>
      </c>
      <c r="C11" s="9" t="s">
        <v>130</v>
      </c>
      <c r="E11" s="9" t="s">
        <v>131</v>
      </c>
      <c r="F11" s="9" t="s">
        <v>132</v>
      </c>
      <c r="G11" s="9" t="s">
        <v>130</v>
      </c>
      <c r="H11" s="9" t="s">
        <v>129</v>
      </c>
      <c r="I11" s="9" t="s">
        <v>133</v>
      </c>
    </row>
    <row r="12" spans="1:9" x14ac:dyDescent="0.35">
      <c r="A12" s="12" t="s">
        <v>68</v>
      </c>
      <c r="B12" s="14">
        <f>AVERAGEIF(Dataset!$E$2:$E$51,A12,Dataset!$C$2:$C$51)</f>
        <v>15.125</v>
      </c>
      <c r="C12" s="15">
        <f>COUNTIF(Dataset!$E$2:$E$51,A12)</f>
        <v>24</v>
      </c>
      <c r="E12" s="12" t="s">
        <v>20</v>
      </c>
      <c r="F12" s="13" t="str" cm="1">
        <f t="array" ref="F12">_xlfn.TEXTJOIN(", ",TRUE,_xlfn.UNIQUE(_xlfn._xlws.FILTER(Dataset!$B$2:$B$51,Dataset!$A$2:$A$51=E12)))</f>
        <v>RawMatPlus</v>
      </c>
      <c r="G12" s="18">
        <f>COUNTIF(Dataset!$A$2:$A$51,E12)</f>
        <v>4</v>
      </c>
      <c r="H12" s="19">
        <f>AVERAGEIF(Dataset!$A$2:$A$51,E12,Dataset!$C$2:$C$51)</f>
        <v>23.25</v>
      </c>
      <c r="I12" s="20">
        <f>AVERAGEIF(Dataset!$A$2:$A$51,E12,Dataset!$P$2:$P$51)</f>
        <v>90.25</v>
      </c>
    </row>
    <row r="13" spans="1:9" x14ac:dyDescent="0.35">
      <c r="A13" s="10" t="s">
        <v>69</v>
      </c>
      <c r="B13" s="16">
        <f>AVERAGEIF(Dataset!$E$2:$E$51,A13,Dataset!$C$2:$C$51)</f>
        <v>11.25</v>
      </c>
      <c r="C13" s="17">
        <f>COUNTIF(Dataset!$E$2:$E$51,A13)</f>
        <v>12</v>
      </c>
      <c r="E13" s="10" t="s">
        <v>21</v>
      </c>
      <c r="F13" s="11" t="str" cm="1">
        <f t="array" ref="F13">_xlfn.TEXTJOIN(", ",TRUE,_xlfn.UNIQUE(_xlfn._xlws.FILTER(Dataset!$B$2:$B$51,Dataset!$A$2:$A$51=E13)))</f>
        <v>EcoSupply</v>
      </c>
      <c r="G13" s="21">
        <f>COUNTIF(Dataset!$A$2:$A$51,E13)</f>
        <v>1</v>
      </c>
      <c r="H13" s="22">
        <f>AVERAGEIF(Dataset!$A$2:$A$51,E13,Dataset!$C$2:$C$51)</f>
        <v>64</v>
      </c>
      <c r="I13" s="23">
        <f>AVERAGEIF(Dataset!$A$2:$A$51,E13,Dataset!$P$2:$P$51)</f>
        <v>99</v>
      </c>
    </row>
    <row r="14" spans="1:9" ht="29" x14ac:dyDescent="0.35">
      <c r="A14" s="12" t="s">
        <v>67</v>
      </c>
      <c r="B14" s="14">
        <f>AVERAGEIF(Dataset!$E$2:$E$51,A14,Dataset!$C$2:$C$51)</f>
        <v>12.857142857142858</v>
      </c>
      <c r="C14" s="15">
        <f>COUNTIF(Dataset!$E$2:$E$51,A14)</f>
        <v>14</v>
      </c>
      <c r="E14" s="12" t="s">
        <v>19</v>
      </c>
      <c r="F14" s="13" t="str" cm="1">
        <f t="array" ref="F14">_xlfn.TEXTJOIN(", ",TRUE,_xlfn.UNIQUE(_xlfn._xlws.FILTER(Dataset!$B$2:$B$51,Dataset!$A$2:$A$51=E14)))</f>
        <v>GlobalChem, RawMatPlus, NextGen Pharma</v>
      </c>
      <c r="G14" s="18">
        <f>COUNTIF(Dataset!$A$2:$A$51,E14)</f>
        <v>5</v>
      </c>
      <c r="H14" s="19">
        <f>AVERAGEIF(Dataset!$A$2:$A$51,E14,Dataset!$C$2:$C$51)</f>
        <v>21.2</v>
      </c>
      <c r="I14" s="20">
        <f>AVERAGEIF(Dataset!$A$2:$A$51,E14,Dataset!$P$2:$P$51)</f>
        <v>84.2</v>
      </c>
    </row>
    <row r="17" spans="1:9" ht="22" customHeight="1" x14ac:dyDescent="0.35">
      <c r="A17" s="7" t="s">
        <v>134</v>
      </c>
      <c r="B17" s="7"/>
      <c r="C17" s="7"/>
      <c r="D17" s="7"/>
      <c r="E17" s="7"/>
      <c r="F17" s="7"/>
      <c r="G17" s="7"/>
      <c r="H17" s="7"/>
      <c r="I17" s="7"/>
    </row>
    <row r="18" spans="1:9" ht="30" customHeight="1" x14ac:dyDescent="0.35">
      <c r="A18" s="9" t="s">
        <v>124</v>
      </c>
      <c r="B18" s="9" t="s">
        <v>130</v>
      </c>
      <c r="C18" s="9" t="s">
        <v>135</v>
      </c>
      <c r="D18" s="9" t="s">
        <v>136</v>
      </c>
      <c r="E18" s="9" t="s">
        <v>137</v>
      </c>
      <c r="F18" s="9" t="s">
        <v>138</v>
      </c>
      <c r="G18" s="9" t="s">
        <v>139</v>
      </c>
      <c r="H18" s="9" t="s">
        <v>140</v>
      </c>
      <c r="I18" s="9" t="s">
        <v>141</v>
      </c>
    </row>
    <row r="19" spans="1:9" x14ac:dyDescent="0.35">
      <c r="A19" s="12" t="s">
        <v>64</v>
      </c>
      <c r="B19" s="15">
        <f>COUNTIF(Dataset!$B$2:$B$51,A19)</f>
        <v>10</v>
      </c>
      <c r="C19" s="14">
        <f>AVERAGEIF(Dataset!$B$2:$B$51,A19,Dataset!$C$2:$C$51)</f>
        <v>15</v>
      </c>
      <c r="D19" s="24">
        <f>AVERAGEIF(Dataset!$B$2:$B$51,A19,Dataset!$P$2:$P$51)</f>
        <v>87.9</v>
      </c>
      <c r="E19" s="24">
        <f>AVERAGEIF(Dataset!$B$2:$B$51,A19,Dataset!$J$2:$J$51)</f>
        <v>93.2</v>
      </c>
      <c r="F19" s="25">
        <f>AVERAGEIF(Dataset!$B$2:$B$51,A19,Dataset!$H$2:$H$51)</f>
        <v>2.4980000000000002</v>
      </c>
      <c r="G19" s="20">
        <f>AVERAGEIF(Dataset!$B$2:$B$51,A19,Dataset!$R$2:$R$51)</f>
        <v>93.9</v>
      </c>
      <c r="H19" s="26">
        <f>AVERAGEIF(Dataset!$B$2:$B$51,A19,Dataset!$Q$2:$Q$51)</f>
        <v>318.7</v>
      </c>
      <c r="I19" s="19">
        <f>AVERAGEIF(Dataset!$B$2:$B$51,A19,Dataset!$M$2:$M$51)</f>
        <v>7.4</v>
      </c>
    </row>
    <row r="20" spans="1:9" x14ac:dyDescent="0.35">
      <c r="A20" s="10" t="s">
        <v>63</v>
      </c>
      <c r="B20" s="17">
        <f>COUNTIF(Dataset!$B$2:$B$51,A20)</f>
        <v>13</v>
      </c>
      <c r="C20" s="16">
        <f>AVERAGEIF(Dataset!$B$2:$B$51,A20,Dataset!$C$2:$C$51)</f>
        <v>14.23076923076923</v>
      </c>
      <c r="D20" s="27">
        <f>AVERAGEIF(Dataset!$B$2:$B$51,A20,Dataset!$P$2:$P$51)</f>
        <v>90.615384615384613</v>
      </c>
      <c r="E20" s="27">
        <f>AVERAGEIF(Dataset!$B$2:$B$51,A20,Dataset!$J$2:$J$51)</f>
        <v>92.84615384615384</v>
      </c>
      <c r="F20" s="28">
        <f>AVERAGEIF(Dataset!$B$2:$B$51,A20,Dataset!$H$2:$H$51)</f>
        <v>2.5961538461538463</v>
      </c>
      <c r="G20" s="23">
        <f>AVERAGEIF(Dataset!$B$2:$B$51,A20,Dataset!$R$2:$R$51)</f>
        <v>94.15384615384616</v>
      </c>
      <c r="H20" s="29">
        <f>AVERAGEIF(Dataset!$B$2:$B$51,A20,Dataset!$Q$2:$Q$51)</f>
        <v>241</v>
      </c>
      <c r="I20" s="22">
        <f>AVERAGEIF(Dataset!$B$2:$B$51,A20,Dataset!$M$2:$M$51)</f>
        <v>6.7692307692307692</v>
      </c>
    </row>
    <row r="21" spans="1:9" x14ac:dyDescent="0.35">
      <c r="A21" s="12" t="s">
        <v>62</v>
      </c>
      <c r="B21" s="15">
        <f>COUNTIF(Dataset!$B$2:$B$51,A21)</f>
        <v>9</v>
      </c>
      <c r="C21" s="14">
        <f>AVERAGEIF(Dataset!$B$2:$B$51,A21,Dataset!$C$2:$C$51)</f>
        <v>16.444444444444443</v>
      </c>
      <c r="D21" s="24">
        <f>AVERAGEIF(Dataset!$B$2:$B$51,A21,Dataset!$P$2:$P$51)</f>
        <v>90.888888888888886</v>
      </c>
      <c r="E21" s="24">
        <f>AVERAGEIF(Dataset!$B$2:$B$51,A21,Dataset!$J$2:$J$51)</f>
        <v>92.555555555555557</v>
      </c>
      <c r="F21" s="25">
        <f>AVERAGEIF(Dataset!$B$2:$B$51,A21,Dataset!$H$2:$H$51)</f>
        <v>2.5677777777777777</v>
      </c>
      <c r="G21" s="20">
        <f>AVERAGEIF(Dataset!$B$2:$B$51,A21,Dataset!$R$2:$R$51)</f>
        <v>94.555555555555557</v>
      </c>
      <c r="H21" s="26">
        <f>AVERAGEIF(Dataset!$B$2:$B$51,A21,Dataset!$Q$2:$Q$51)</f>
        <v>271.22222222222223</v>
      </c>
      <c r="I21" s="19">
        <f>AVERAGEIF(Dataset!$B$2:$B$51,A21,Dataset!$M$2:$M$51)</f>
        <v>7.5555555555555554</v>
      </c>
    </row>
    <row r="22" spans="1:9" x14ac:dyDescent="0.35">
      <c r="A22" s="10" t="s">
        <v>65</v>
      </c>
      <c r="B22" s="17">
        <f>COUNTIF(Dataset!$B$2:$B$51,A22)</f>
        <v>11</v>
      </c>
      <c r="C22" s="16">
        <f>AVERAGEIF(Dataset!$B$2:$B$51,A22,Dataset!$C$2:$C$51)</f>
        <v>10.727272727272727</v>
      </c>
      <c r="D22" s="27">
        <f>AVERAGEIF(Dataset!$B$2:$B$51,A22,Dataset!$P$2:$P$51)</f>
        <v>91.545454545454547</v>
      </c>
      <c r="E22" s="27">
        <f>AVERAGEIF(Dataset!$B$2:$B$51,A22,Dataset!$J$2:$J$51)</f>
        <v>91.818181818181813</v>
      </c>
      <c r="F22" s="28">
        <f>AVERAGEIF(Dataset!$B$2:$B$51,A22,Dataset!$H$2:$H$51)</f>
        <v>2.2190909090909092</v>
      </c>
      <c r="G22" s="23">
        <f>AVERAGEIF(Dataset!$B$2:$B$51,A22,Dataset!$R$2:$R$51)</f>
        <v>93.727272727272734</v>
      </c>
      <c r="H22" s="29">
        <f>AVERAGEIF(Dataset!$B$2:$B$51,A22,Dataset!$Q$2:$Q$51)</f>
        <v>207.72727272727272</v>
      </c>
      <c r="I22" s="22">
        <f>AVERAGEIF(Dataset!$B$2:$B$51,A22,Dataset!$M$2:$M$51)</f>
        <v>4.9090909090909092</v>
      </c>
    </row>
    <row r="23" spans="1:9" x14ac:dyDescent="0.35">
      <c r="A23" s="12" t="s">
        <v>66</v>
      </c>
      <c r="B23" s="15">
        <f>COUNTIF(Dataset!$B$2:$B$51,A23)</f>
        <v>7</v>
      </c>
      <c r="C23" s="14">
        <f>AVERAGEIF(Dataset!$B$2:$B$51,A23,Dataset!$C$2:$C$51)</f>
        <v>11</v>
      </c>
      <c r="D23" s="24">
        <f>AVERAGEIF(Dataset!$B$2:$B$51,A23,Dataset!$P$2:$P$51)</f>
        <v>88</v>
      </c>
      <c r="E23" s="24">
        <f>AVERAGEIF(Dataset!$B$2:$B$51,A23,Dataset!$J$2:$J$51)</f>
        <v>91.428571428571431</v>
      </c>
      <c r="F23" s="25">
        <f>AVERAGEIF(Dataset!$B$2:$B$51,A23,Dataset!$H$2:$H$51)</f>
        <v>2.8885714285714283</v>
      </c>
      <c r="G23" s="20">
        <f>AVERAGEIF(Dataset!$B$2:$B$51,A23,Dataset!$R$2:$R$51)</f>
        <v>92.428571428571431</v>
      </c>
      <c r="H23" s="26">
        <f>AVERAGEIF(Dataset!$B$2:$B$51,A23,Dataset!$Q$2:$Q$51)</f>
        <v>312.28571428571428</v>
      </c>
      <c r="I23" s="19">
        <f>AVERAGEIF(Dataset!$B$2:$B$51,A23,Dataset!$M$2:$M$51)</f>
        <v>6.7142857142857144</v>
      </c>
    </row>
  </sheetData>
  <mergeCells count="9">
    <mergeCell ref="A8:I8"/>
    <mergeCell ref="A10:I10"/>
    <mergeCell ref="A17:I17"/>
    <mergeCell ref="A1:I1"/>
    <mergeCell ref="A2:I2"/>
    <mergeCell ref="A4:I4"/>
    <mergeCell ref="A5:I5"/>
    <mergeCell ref="A6:I6"/>
    <mergeCell ref="A7:I7"/>
  </mergeCells>
  <conditionalFormatting sqref="D19:D23">
    <cfRule type="expression" dxfId="1" priority="1">
      <formula>D19&lt;90</formula>
    </cfRule>
  </conditionalFormatting>
  <conditionalFormatting sqref="F19:F23">
    <cfRule type="expression" dxfId="0" priority="2">
      <formula>F19&gt;3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Shah-Aga, Said-Aga</cp:lastModifiedBy>
  <dcterms:created xsi:type="dcterms:W3CDTF">2024-12-04T18:55:38Z</dcterms:created>
  <dcterms:modified xsi:type="dcterms:W3CDTF">2026-08-27T10:28:22Z</dcterms:modified>
</cp:coreProperties>
</file>